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002060"/>
      <sz val="14"/>
    </font>
    <font>
      <name val="Arial"/>
      <i val="1"/>
      <sz val="10"/>
    </font>
    <font>
      <name val="Arial"/>
      <b val="1"/>
      <sz val="11"/>
    </font>
    <font>
      <name val="Arial"/>
      <sz val="11"/>
    </font>
    <font>
      <name val="Arial"/>
      <color rgb="000000FF"/>
      <sz val="11"/>
    </font>
    <font>
      <name val="Arial"/>
      <b val="1"/>
      <color rgb="00FFFFFF"/>
      <sz val="10"/>
    </font>
    <font>
      <name val="Arial"/>
      <i val="1"/>
      <color rgb="00808080"/>
      <sz val="9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F00"/>
      </patternFill>
    </fill>
    <fill>
      <patternFill patternType="solid">
        <fgColor rgb="00002060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1" pivotButton="0" quotePrefix="0" xfId="0"/>
    <xf numFmtId="2" fontId="5" fillId="3" borderId="1" pivotButton="0" quotePrefix="0" xfId="0"/>
    <xf numFmtId="164" fontId="5" fillId="3" borderId="1" pivotButton="0" quotePrefix="0" xfId="0"/>
    <xf numFmtId="3" fontId="5" fillId="3" borderId="1" pivotButton="0" quotePrefix="0" xfId="0"/>
    <xf numFmtId="1" fontId="5" fillId="3" borderId="1" pivotButton="0" quotePrefix="0" xfId="0"/>
    <xf numFmtId="4" fontId="5" fillId="3" borderId="1" pivotButton="0" quotePrefix="0" xfId="0"/>
    <xf numFmtId="0" fontId="6" fillId="4" borderId="1" applyAlignment="1" pivotButton="0" quotePrefix="0" xfId="0">
      <alignment horizontal="center" vertical="center" wrapText="1"/>
    </xf>
    <xf numFmtId="4" fontId="4" fillId="0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3" fillId="5" borderId="1" pivotButton="0" quotePrefix="0" xfId="0"/>
    <xf numFmtId="4" fontId="3" fillId="5" borderId="1" pivotButton="0" quotePrefix="0" xfId="0"/>
    <xf numFmtId="164" fontId="4" fillId="0" borderId="1" pivotButton="0" quotePrefix="0" xfId="0"/>
    <xf numFmtId="3" fontId="4" fillId="0" borderId="1" pivotButton="0" quotePrefix="0" xfId="0"/>
    <xf numFmtId="1" fontId="4" fillId="0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6" customWidth="1" min="3" max="3"/>
    <col width="16" customWidth="1" min="4" max="4"/>
    <col width="8" customWidth="1" min="5" max="5"/>
    <col width="16" customWidth="1" min="6" max="6"/>
    <col width="16" customWidth="1" min="7" max="7"/>
  </cols>
  <sheetData>
    <row r="1">
      <c r="A1" s="1" t="inlineStr">
        <is>
          <t>INTERNAL PRICING WORKSHEET — CONFIDENTIAL</t>
        </is>
      </c>
    </row>
    <row r="2">
      <c r="A2" s="2" t="inlineStr">
        <is>
          <t>Lead ID: {{LeadID}} | Model: {{ModelFull}} | Origin: {{OriginLabel}} | Branch: {{Branch}} | Salesperson: {{Salesperson}}</t>
        </is>
      </c>
    </row>
    <row r="3">
      <c r="A3" s="2" t="inlineStr">
        <is>
          <t>Customer: {{CustomerProject}} | Quote Date: {{QuoteMonth}}</t>
        </is>
      </c>
    </row>
    <row r="5">
      <c r="A5" s="3" t="inlineStr">
        <is>
          <t>CONSTANTS / INPUTS</t>
        </is>
      </c>
      <c r="B5" s="4" t="n"/>
      <c r="C5" s="5" t="n"/>
    </row>
    <row r="6">
      <c r="A6" s="6" t="inlineStr">
        <is>
          <t>FX Rate (USD → SAR)</t>
        </is>
      </c>
      <c r="B6" s="7" t="n">
        <v>3.75</v>
      </c>
    </row>
    <row r="7">
      <c r="A7" s="6" t="inlineStr">
        <is>
          <t>Customs Duty %</t>
        </is>
      </c>
      <c r="B7" s="8" t="n">
        <v>0.15</v>
      </c>
    </row>
    <row r="8">
      <c r="A8" s="6" t="inlineStr">
        <is>
          <t>Master Freight Rate (Italy only, % of ex-works)</t>
        </is>
      </c>
      <c r="B8" s="8" t="n">
        <v>0.14</v>
      </c>
    </row>
    <row r="9">
      <c r="A9" s="6" t="inlineStr">
        <is>
          <t>Transport per truck, Dubai (SAR)</t>
        </is>
      </c>
      <c r="B9" s="9" t="n">
        <v>6000</v>
      </c>
    </row>
    <row r="10">
      <c r="A10" s="6" t="inlineStr">
        <is>
          <t>Other Customs Clearance, Dubai (SAR)</t>
        </is>
      </c>
      <c r="B10" s="9" t="n">
        <v>3600</v>
      </c>
    </row>
    <row r="11">
      <c r="A11" s="6" t="inlineStr">
        <is>
          <t>Qty per Truck (Dubai)</t>
        </is>
      </c>
      <c r="B11" s="10" t="inlineStr">
        <is>
          <t>{{QtyPerTruck}}</t>
        </is>
      </c>
    </row>
    <row r="12">
      <c r="A12" s="6" t="inlineStr">
        <is>
          <t>PDI (SAR)</t>
        </is>
      </c>
      <c r="B12" s="9" t="inlineStr">
        <is>
          <t>{{PDISAR}}</t>
        </is>
      </c>
    </row>
    <row r="13">
      <c r="A13" s="6" t="inlineStr">
        <is>
          <t>Is Italy Origin? (1=Yes, 0=No)</t>
        </is>
      </c>
      <c r="B13" s="10" t="inlineStr">
        <is>
          <t>{{IsItalyOriginFlag}}</t>
        </is>
      </c>
    </row>
    <row r="14">
      <c r="A14" s="6" t="inlineStr">
        <is>
          <t>Ex-works Price (USD)</t>
        </is>
      </c>
      <c r="B14" s="11" t="inlineStr">
        <is>
          <t>{{ExWorksTotalUSD}}</t>
        </is>
      </c>
    </row>
    <row r="16">
      <c r="A16" s="3" t="inlineStr">
        <is>
          <t>COST BUILD-UP</t>
        </is>
      </c>
      <c r="B16" s="4" t="n"/>
      <c r="C16" s="5" t="n"/>
    </row>
    <row r="17">
      <c r="A17" s="12" t="inlineStr">
        <is>
          <t>Item</t>
        </is>
      </c>
      <c r="B17" s="12" t="inlineStr">
        <is>
          <t>USD</t>
        </is>
      </c>
      <c r="C17" s="12" t="inlineStr">
        <is>
          <t>SAR</t>
        </is>
      </c>
    </row>
    <row r="18">
      <c r="A18" s="6" t="inlineStr">
        <is>
          <t>Freight Cost (Italy: 14% of ex-works | Dubai: 0, uses truck transport below)</t>
        </is>
      </c>
      <c r="B18" s="13">
        <f>IF(B13=1,B14*B8,0)</f>
        <v/>
      </c>
    </row>
    <row r="19">
      <c r="A19" s="6" t="inlineStr">
        <is>
          <t>Custom Duty</t>
        </is>
      </c>
      <c r="B19" s="13">
        <f>B14*B7</f>
        <v/>
      </c>
    </row>
    <row r="20">
      <c r="A20" s="14" t="inlineStr">
        <is>
          <t>Total (USD)</t>
        </is>
      </c>
      <c r="B20" s="15">
        <f>B14+B18+B19</f>
        <v/>
      </c>
    </row>
    <row r="21">
      <c r="A21" s="14" t="inlineStr">
        <is>
          <t>Est. Landed Cost (SAR)</t>
        </is>
      </c>
      <c r="C21" s="15">
        <f>B20*B6</f>
        <v/>
      </c>
    </row>
    <row r="22">
      <c r="A22" s="6" t="inlineStr">
        <is>
          <t>Dubai Transport + Clearance (SAR, per truck) — n/a for Italy</t>
        </is>
      </c>
      <c r="C22" s="13">
        <f>IF(B13=1,0,B9+B10)</f>
        <v/>
      </c>
    </row>
    <row r="23">
      <c r="A23" s="6" t="inlineStr">
        <is>
          <t>Transport Cost per Unit (SAR)</t>
        </is>
      </c>
      <c r="C23" s="13">
        <f>IF(B13=1,0,C22/B11)</f>
        <v/>
      </c>
    </row>
    <row r="24">
      <c r="A24" s="14" t="inlineStr">
        <is>
          <t>Landed Cost per Unit (SAR)</t>
        </is>
      </c>
      <c r="C24" s="15">
        <f>C21+C23</f>
        <v/>
      </c>
    </row>
    <row r="25">
      <c r="A25" s="16" t="inlineStr">
        <is>
          <t>Total Landed Cost per Unit (SAR)</t>
        </is>
      </c>
      <c r="C25" s="17">
        <f>C24+B12</f>
        <v/>
      </c>
    </row>
    <row r="27">
      <c r="A27" s="3" t="inlineStr">
        <is>
          <t>PRICING TIERS</t>
        </is>
      </c>
      <c r="B27" s="4" t="n"/>
      <c r="C27" s="4" t="n"/>
      <c r="D27" s="4" t="n"/>
      <c r="E27" s="4" t="n"/>
      <c r="F27" s="4" t="n"/>
      <c r="G27" s="5" t="n"/>
    </row>
    <row r="28">
      <c r="A28" s="12" t="inlineStr">
        <is>
          <t>Tier</t>
        </is>
      </c>
      <c r="B28" s="12" t="inlineStr">
        <is>
          <t>Margin</t>
        </is>
      </c>
      <c r="C28" s="12" t="inlineStr">
        <is>
          <t>Unit Price (SAR)</t>
        </is>
      </c>
      <c r="D28" s="12" t="inlineStr">
        <is>
          <t>Unit Profit (SAR)</t>
        </is>
      </c>
      <c r="E28" s="12" t="inlineStr">
        <is>
          <t>Qty</t>
        </is>
      </c>
      <c r="F28" s="12" t="inlineStr">
        <is>
          <t>Total Price (SAR)</t>
        </is>
      </c>
      <c r="G28" s="12" t="inlineStr">
        <is>
          <t>Total Profit (SAR)</t>
        </is>
      </c>
    </row>
    <row r="29">
      <c r="A29" s="6" t="inlineStr">
        <is>
          <t>Opening Price</t>
        </is>
      </c>
      <c r="B29" s="18" t="n">
        <v>0.13</v>
      </c>
      <c r="C29" s="19">
        <f>C25/(1-B29)</f>
        <v/>
      </c>
      <c r="D29" s="19">
        <f>C29-C25</f>
        <v/>
      </c>
      <c r="E29" s="20" t="inlineStr">
        <is>
          <t>{{Quantity}}</t>
        </is>
      </c>
      <c r="F29" s="19">
        <f>C29*E29</f>
        <v/>
      </c>
      <c r="G29" s="19">
        <f>D29*E29</f>
        <v/>
      </c>
    </row>
    <row r="30">
      <c r="A30" s="6" t="inlineStr">
        <is>
          <t>Final / Floor Price</t>
        </is>
      </c>
      <c r="B30" s="18" t="n">
        <v>0.1</v>
      </c>
      <c r="C30" s="19">
        <f>C25/(1-B30)</f>
        <v/>
      </c>
      <c r="D30" s="19">
        <f>C30-C25</f>
        <v/>
      </c>
      <c r="E30" s="20" t="inlineStr">
        <is>
          <t>{{Quantity}}</t>
        </is>
      </c>
      <c r="F30" s="19">
        <f>C30*E30</f>
        <v/>
      </c>
      <c r="G30" s="19">
        <f>D30*E30</f>
        <v/>
      </c>
    </row>
    <row r="32">
      <c r="A32" s="21" t="inlineStr">
        <is>
          <t>Note: Customer-facing quotation shows Opening Price only. Floor/Final price is internal negotiation fallback — not disclosed to customer. All cells above (except yellow inputs) are live formulas — safe to review and audit.</t>
        </is>
      </c>
    </row>
  </sheetData>
  <mergeCells count="3">
    <mergeCell ref="A5:C5"/>
    <mergeCell ref="A27:G27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2026-08-24T05:18:44Z</dcterms:created>
  <dcterms:modified xmlns:dcterms="http://purl.org/dc/terms/" xmlns:xsi="http://www.w3.org/2001/XMLSchema-instance" xsi:type="dcterms:W3CDTF">2026-08-24T05:18:44Z</dcterms:modified>
</cp:coreProperties>
</file>